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Templates\FundamentalAnalysis\"/>
    </mc:Choice>
  </mc:AlternateContent>
  <xr:revisionPtr revIDLastSave="0" documentId="13_ncr:1_{FB648439-D1DA-41D0-AAB8-14C445496DE9}" xr6:coauthVersionLast="45" xr6:coauthVersionMax="45" xr10:uidLastSave="{00000000-0000-0000-0000-000000000000}"/>
  <bookViews>
    <workbookView xWindow="-120" yWindow="-120" windowWidth="20730" windowHeight="11160" xr2:uid="{3E2BB3CF-F5B0-490B-BF09-DB465C408C8C}"/>
  </bookViews>
  <sheets>
    <sheet name="Balance Sheet" sheetId="1" r:id="rId1"/>
    <sheet name="P &amp; L" sheetId="2" r:id="rId2"/>
    <sheet name="Sheet1" sheetId="5" r:id="rId3"/>
    <sheet name="Cash Flow" sheetId="3" r:id="rId4"/>
    <sheet name="DCF" sheetId="4" r:id="rId5"/>
  </sheets>
  <definedNames>
    <definedName name="ExternalData_1" localSheetId="0" hidden="1">'Balance Sheet'!$A$1:$G$55</definedName>
    <definedName name="ExternalData_1" localSheetId="3" hidden="1">'Cash Flow'!$A$1:$G$12</definedName>
    <definedName name="ExternalData_1" localSheetId="1" hidden="1">'P &amp; L'!$A$1:$G$39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4" l="1"/>
  <c r="E17" i="4"/>
  <c r="F17" i="4"/>
  <c r="C17" i="4"/>
  <c r="D16" i="4"/>
  <c r="E16" i="4"/>
  <c r="F16" i="4"/>
  <c r="C16" i="4"/>
  <c r="D15" i="4"/>
  <c r="E15" i="4"/>
  <c r="F15" i="4"/>
  <c r="C15" i="4"/>
  <c r="D14" i="4"/>
  <c r="E14" i="4"/>
  <c r="F14" i="4"/>
  <c r="C14" i="4"/>
  <c r="B13" i="4"/>
  <c r="D13" i="4"/>
  <c r="E13" i="4"/>
  <c r="F13" i="4"/>
  <c r="C13" i="4"/>
  <c r="C12" i="4"/>
  <c r="C19" i="4" s="1"/>
  <c r="D11" i="4"/>
  <c r="E11" i="4"/>
  <c r="F11" i="4"/>
  <c r="C11" i="4"/>
  <c r="C9" i="4"/>
  <c r="D9" i="4"/>
  <c r="E9" i="4"/>
  <c r="E12" i="4" s="1"/>
  <c r="F9" i="4"/>
  <c r="B9" i="4"/>
  <c r="C8" i="4"/>
  <c r="D8" i="4"/>
  <c r="E8" i="4"/>
  <c r="F8" i="4"/>
  <c r="B8" i="4"/>
  <c r="C7" i="4"/>
  <c r="D7" i="4"/>
  <c r="E7" i="4"/>
  <c r="F7" i="4"/>
  <c r="B7" i="4"/>
  <c r="C6" i="4"/>
  <c r="D6" i="4"/>
  <c r="E6" i="4"/>
  <c r="F6" i="4"/>
  <c r="B6" i="4"/>
  <c r="C5" i="4"/>
  <c r="D5" i="4"/>
  <c r="E5" i="4"/>
  <c r="F5" i="4"/>
  <c r="B5" i="4"/>
  <c r="C4" i="4"/>
  <c r="D4" i="4"/>
  <c r="E4" i="4"/>
  <c r="F4" i="4"/>
  <c r="B4" i="4"/>
  <c r="C3" i="4"/>
  <c r="D3" i="4"/>
  <c r="E3" i="4"/>
  <c r="F3" i="4"/>
  <c r="B3" i="4"/>
  <c r="E19" i="4" l="1"/>
  <c r="F12" i="4"/>
  <c r="F19" i="4" s="1"/>
  <c r="D12" i="4"/>
  <c r="D1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8169E1-E8AD-459E-A6A4-64E8BCF90A6F}" keepAlive="1" name="Query - Table 0" description="Connection to the 'Table 0' query in the workbook." type="5" refreshedVersion="6" background="1" saveData="1">
    <dbPr connection="Provider=Microsoft.Mashup.OleDb.1;Data Source=$Workbook$;Location=&quot;Table 0&quot;;Extended Properties=&quot;&quot;" command="SELECT * FROM [Table 0]"/>
  </connection>
  <connection id="2" xr16:uid="{941CB17A-63EE-4DEB-ADF1-1A95C3A7B623}" keepAlive="1" name="Query - Table 0 (2)" description="Connection to the 'Table 0 (2)' query in the workbook." type="5" refreshedVersion="6" background="1" saveData="1">
    <dbPr connection="Provider=Microsoft.Mashup.OleDb.1;Data Source=$Workbook$;Location=&quot;Table 0 (2)&quot;;Extended Properties=&quot;&quot;" command="SELECT * FROM [Table 0 (2)]"/>
  </connection>
  <connection id="3" xr16:uid="{7F6B5E98-4ECB-4B16-9418-CACA28DF9AF5}" keepAlive="1" name="Query - Table 0 (3)" description="Connection to the 'Table 0 (3)' query in the workbook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<sst xmlns="http://schemas.openxmlformats.org/spreadsheetml/2006/main" count="262" uniqueCount="118">
  <si>
    <t>Column1</t>
  </si>
  <si>
    <t>Column2</t>
  </si>
  <si>
    <t>Column3</t>
  </si>
  <si>
    <t>Column4</t>
  </si>
  <si>
    <t>Column5</t>
  </si>
  <si>
    <t>Column6</t>
  </si>
  <si>
    <t>Column7</t>
  </si>
  <si>
    <t>Balance Sheet of Tata Motors (in Rs. Cr.)</t>
  </si>
  <si>
    <t/>
  </si>
  <si>
    <t>12 mths</t>
  </si>
  <si>
    <t>EQUITIES AND LIABILITIES</t>
  </si>
  <si>
    <t>SHAREHOLDER'S FUNDS</t>
  </si>
  <si>
    <t>Equity Share Capital</t>
  </si>
  <si>
    <t>Total Share Capital</t>
  </si>
  <si>
    <t>Reserves and Surplus</t>
  </si>
  <si>
    <t>Total Reserves and Surplus</t>
  </si>
  <si>
    <t>Total Shareholders Funds</t>
  </si>
  <si>
    <t>Minority Interest</t>
  </si>
  <si>
    <t>NON-CURRENT LIABILITIES</t>
  </si>
  <si>
    <t>Long Term Borrowings</t>
  </si>
  <si>
    <t>Deferred Tax Liabilities [Net]</t>
  </si>
  <si>
    <t>Other Long Term Liabilities</t>
  </si>
  <si>
    <t>Long Term Provisions</t>
  </si>
  <si>
    <t>Total Non-Current Liabilities</t>
  </si>
  <si>
    <t>CURRENT LIABILITIES</t>
  </si>
  <si>
    <t>Short Term Borrowings</t>
  </si>
  <si>
    <t>Trade Payables</t>
  </si>
  <si>
    <t>Other Current Liabilities</t>
  </si>
  <si>
    <t>Short Term Provisions</t>
  </si>
  <si>
    <t>Total Current Liabilities</t>
  </si>
  <si>
    <t>Total Capital And Liabilities</t>
  </si>
  <si>
    <t>ASSETS</t>
  </si>
  <si>
    <t>NON-CURRENT ASSETS</t>
  </si>
  <si>
    <t>Tangible Assets</t>
  </si>
  <si>
    <t>Intangible Assets</t>
  </si>
  <si>
    <t>Capital Work-In-Progress</t>
  </si>
  <si>
    <t>Fixed Assets</t>
  </si>
  <si>
    <t>Non-Current Investments</t>
  </si>
  <si>
    <t>Deferred Tax Assets [Net]</t>
  </si>
  <si>
    <t>Long Term Loans And Advances</t>
  </si>
  <si>
    <t>Other Non-Current Assets</t>
  </si>
  <si>
    <t>Total Non-Current Assets</t>
  </si>
  <si>
    <t>CURRENT ASSETS</t>
  </si>
  <si>
    <t>Current Investments</t>
  </si>
  <si>
    <t>Inventories</t>
  </si>
  <si>
    <t>Trade Receivables</t>
  </si>
  <si>
    <t>Cash And Cash Equivalents</t>
  </si>
  <si>
    <t>Short Term Loans And Advances</t>
  </si>
  <si>
    <t>OtherCurrentAssets</t>
  </si>
  <si>
    <t>Total Current Assets</t>
  </si>
  <si>
    <t>Total Assets</t>
  </si>
  <si>
    <t>OTHER ADDITIONAL INFORMATION</t>
  </si>
  <si>
    <t>CONTINGENT LIABILITIES, COMMITMENTS</t>
  </si>
  <si>
    <t>Contingent Liabilities</t>
  </si>
  <si>
    <t>BONUS DETAILS</t>
  </si>
  <si>
    <t>Bonus Equity Share Capital</t>
  </si>
  <si>
    <t>NON-CURRENT INVESTMENTS</t>
  </si>
  <si>
    <t>Non-Current Investments Quoted Market Value</t>
  </si>
  <si>
    <t>Non-Current Investments Unquoted Book Value</t>
  </si>
  <si>
    <t>CURRENT INVESTMENTS</t>
  </si>
  <si>
    <t>Current Investments Quoted Market Value</t>
  </si>
  <si>
    <t>Current Investments Unquoted Book Value</t>
  </si>
  <si>
    <t>Profit &amp; Loss account of Tata Motors (in Rs. Cr.)</t>
  </si>
  <si>
    <t>INCOME</t>
  </si>
  <si>
    <t>Revenue From Operations [Gross]</t>
  </si>
  <si>
    <t>Less: Excise/Sevice Tax/Other Levies</t>
  </si>
  <si>
    <t>Revenue From Operations [Net]</t>
  </si>
  <si>
    <t>Total Operating Revenues</t>
  </si>
  <si>
    <t>Other Income</t>
  </si>
  <si>
    <t>Total Revenue</t>
  </si>
  <si>
    <t>EXPENSES</t>
  </si>
  <si>
    <t>Cost Of Materials Consumed</t>
  </si>
  <si>
    <t>Operating And Direct Expenses</t>
  </si>
  <si>
    <t>Employee Benefit Expenses</t>
  </si>
  <si>
    <t>Finance Costs</t>
  </si>
  <si>
    <t>Depreciation And Amortisation Expenses</t>
  </si>
  <si>
    <t>Other Expenses</t>
  </si>
  <si>
    <t>Total Expenses</t>
  </si>
  <si>
    <t>Profit/Loss Before Exceptional, ExtraOrdinary Items And Tax</t>
  </si>
  <si>
    <t>Exceptional Items</t>
  </si>
  <si>
    <t>Profit/Loss Before Tax</t>
  </si>
  <si>
    <t>Tax Expenses-Continued Operations</t>
  </si>
  <si>
    <t>Current Tax</t>
  </si>
  <si>
    <t>Less: MAT Credit Entitlement</t>
  </si>
  <si>
    <t>Deferred Tax</t>
  </si>
  <si>
    <t>Other Direct Taxes</t>
  </si>
  <si>
    <t>Total Tax Expenses</t>
  </si>
  <si>
    <t>Profit/Loss After Tax And Before ExtraOrdinary Items</t>
  </si>
  <si>
    <t>Profit/Loss From Continuing Operations</t>
  </si>
  <si>
    <t>Profit/Loss For The Period</t>
  </si>
  <si>
    <t>Consolidated Profit/Loss After MI And Associates</t>
  </si>
  <si>
    <t>EARNINGS PER SHARE</t>
  </si>
  <si>
    <t>Basic EPS (Rs.)</t>
  </si>
  <si>
    <t>Diluted EPS (Rs.)</t>
  </si>
  <si>
    <t>DIVIDEND AND DIVIDEND PERCENTAGE</t>
  </si>
  <si>
    <t>Equity Share Dividend</t>
  </si>
  <si>
    <t>Tax On Dividend</t>
  </si>
  <si>
    <t>Cash Flow of Tata Motors (in Rs. Cr.)</t>
  </si>
  <si>
    <t>Net Profit/Loss Before Extraordinary Items And Tax</t>
  </si>
  <si>
    <t>Net CashFlow From Operating Activities</t>
  </si>
  <si>
    <t>Net Cash Used In Investing Activities</t>
  </si>
  <si>
    <t>Net Cash Used From Financing Activities</t>
  </si>
  <si>
    <t>Foreign Exchange Gains / Losses</t>
  </si>
  <si>
    <t>Adjustments On Amalgamation Merger Demerger Others</t>
  </si>
  <si>
    <t>Net Inc/Dec In Cash And Cash Equivalents</t>
  </si>
  <si>
    <t>Cash And Cash Equivalents Begin of Year</t>
  </si>
  <si>
    <t>Cash And Cash Equivalents End Of Year</t>
  </si>
  <si>
    <t>Discounted Cash Flow</t>
  </si>
  <si>
    <t>Net Profit</t>
  </si>
  <si>
    <t>Depreciation</t>
  </si>
  <si>
    <t>Increase in Fixed Asset</t>
  </si>
  <si>
    <t>CAPEX</t>
  </si>
  <si>
    <t>Working Capital</t>
  </si>
  <si>
    <t>Increase in Working Capital</t>
  </si>
  <si>
    <t>New Long term debt</t>
  </si>
  <si>
    <t>New Short Term Debt</t>
  </si>
  <si>
    <t>New Debt</t>
  </si>
  <si>
    <t>Free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</si>
</sst>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"/>
    <numFmt numFmtId="165" formatCode="mmm\-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5"/>
      </patternFill>
    </fill>
    <fill>
      <patternFill patternType="solid">
        <fgColor rgb="FFFFFFCC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1" applyNumberFormat="0" applyFont="0" applyAlignment="0" applyProtection="0"/>
    <xf numFmtId="0" fontId="4" fillId="4" borderId="0" applyNumberFormat="0" applyBorder="0" applyAlignment="0" applyProtection="0"/>
  </cellStyleXfs>
  <cellXfs count="11">
    <xf numFmtId="0" fontId="0" fillId="0" borderId="0" xfId="0"/>
    <xf numFmtId="0" fontId="0" fillId="0" borderId="0" xfId="0" applyNumberFormat="1"/>
    <xf numFmtId="0" fontId="2" fillId="2" borderId="0" xfId="1" applyFont="1"/>
    <xf numFmtId="16" fontId="0" fillId="0" borderId="0" xfId="0" applyNumberFormat="1"/>
    <xf numFmtId="4" fontId="0" fillId="0" borderId="0" xfId="0" applyNumberFormat="1"/>
    <xf numFmtId="164" fontId="0" fillId="3" borderId="1" xfId="2" applyNumberFormat="1" applyFont="1"/>
    <xf numFmtId="0" fontId="2" fillId="0" borderId="0" xfId="0" applyFont="1"/>
    <xf numFmtId="0" fontId="4" fillId="4" borderId="0" xfId="3" applyNumberFormat="1"/>
    <xf numFmtId="165" fontId="4" fillId="4" borderId="0" xfId="3" applyNumberFormat="1"/>
    <xf numFmtId="16" fontId="4" fillId="4" borderId="0" xfId="3" applyNumberFormat="1"/>
    <xf numFmtId="0" fontId="4" fillId="4" borderId="0" xfId="3"/>
  </cellXfs>
  <cellStyles count="4">
    <cellStyle name="60% - Accent6" xfId="1" builtinId="52"/>
    <cellStyle name="Good" xfId="3" builtinId="26"/>
    <cellStyle name="Normal" xfId="0" builtinId="0"/>
    <cellStyle name="Note" xfId="2" builtinId="10"/>
  </cellStyles>
  <dxfs count="21"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76D8DB-0A7D-425E-9E19-CA6CCA1D40A8}" autoFormatId="16" applyNumberFormats="0" applyBorderFormats="0" applyFontFormats="0" applyPatternFormats="0" applyAlignmentFormats="0" applyWidthHeightFormats="0">
  <queryTableRefresh nextId="8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8C8BDC7-D9A5-4D3E-9A3D-BCE579D51FA2}" autoFormatId="16" applyNumberFormats="0" applyBorderFormats="0" applyFontFormats="0" applyPatternFormats="0" applyAlignmentFormats="0" applyWidthHeightFormats="0">
  <queryTableRefresh nextId="8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FF1DE3-BD99-49DD-9BDB-323B4B022C1C}" autoFormatId="16" applyNumberFormats="0" applyBorderFormats="0" applyFontFormats="0" applyPatternFormats="0" applyAlignmentFormats="0" applyWidthHeightFormats="0">
  <queryTableRefresh nextId="11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0" name="Column7" tableColumnId="7"/>
    </queryTableFields>
    <queryTableDeletedFields count="3">
      <deletedField name="Column7"/>
      <deletedField name="Column7"/>
      <deletedField name="Column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8F3810-A1D4-40E1-BE4C-25825CD7117F}" name="Table_0" displayName="Table_0" ref="A1:G55" tableType="queryTable" totalsRowShown="0">
  <autoFilter ref="A1:G55" xr:uid="{1A67DAD2-633D-4181-9F60-B10A25BE948F}"/>
  <tableColumns count="7">
    <tableColumn id="1" xr3:uid="{5AF05272-C219-4AE0-9D4E-687C1462579C}" uniqueName="1" name="Column1" queryTableFieldId="1" dataDxfId="20"/>
    <tableColumn id="2" xr3:uid="{2BAB80BD-5EE6-41BA-B21E-B07919F291F4}" uniqueName="2" name="Column2" queryTableFieldId="2" dataDxfId="19"/>
    <tableColumn id="3" xr3:uid="{D4F24C85-DE61-40E4-BDA9-2022E69A7E65}" uniqueName="3" name="Column3" queryTableFieldId="3" dataDxfId="18"/>
    <tableColumn id="4" xr3:uid="{CCAF736F-82DA-46AD-A250-21C650530837}" uniqueName="4" name="Column4" queryTableFieldId="4" dataDxfId="17"/>
    <tableColumn id="5" xr3:uid="{A84FAA54-CB4B-4EEC-9E09-6CA1A912DF66}" uniqueName="5" name="Column5" queryTableFieldId="5" dataDxfId="16"/>
    <tableColumn id="6" xr3:uid="{35373470-BCC1-4181-AB9A-647A8ED4DE17}" uniqueName="6" name="Column6" queryTableFieldId="6" dataDxfId="15"/>
    <tableColumn id="7" xr3:uid="{4A82D405-DD98-4F63-B414-749620C446B4}" uniqueName="7" name="Column7" queryTableFieldId="7" dataDxf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D3B45D-0FD8-45DF-B125-DDD1AA62E7D3}" name="Table_0__2" displayName="Table_0__2" ref="A1:G39" tableType="queryTable" totalsRowShown="0">
  <autoFilter ref="A1:G39" xr:uid="{176BBEB4-83D9-44A9-943E-13C356AAE3F7}"/>
  <tableColumns count="7">
    <tableColumn id="1" xr3:uid="{FA90E7C3-7686-4F48-8F90-A5A581E3EBC4}" uniqueName="1" name="Column1" queryTableFieldId="1" dataDxfId="13"/>
    <tableColumn id="2" xr3:uid="{93276E6C-2974-482E-A1D5-6B65AC270B8E}" uniqueName="2" name="Column2" queryTableFieldId="2" dataDxfId="12"/>
    <tableColumn id="3" xr3:uid="{1F441860-77B4-4C87-B64F-1D507BC82DD2}" uniqueName="3" name="Column3" queryTableFieldId="3" dataDxfId="11"/>
    <tableColumn id="4" xr3:uid="{FFDF0BE1-1A8B-4778-BFCE-0F9A6AF96C9C}" uniqueName="4" name="Column4" queryTableFieldId="4" dataDxfId="10"/>
    <tableColumn id="5" xr3:uid="{73F92A1B-860C-46F7-A7B4-5F379223171A}" uniqueName="5" name="Column5" queryTableFieldId="5" dataDxfId="9"/>
    <tableColumn id="6" xr3:uid="{4B63117B-1D31-450E-A959-38D995D5D52E}" uniqueName="6" name="Column6" queryTableFieldId="6" dataDxfId="8"/>
    <tableColumn id="7" xr3:uid="{8960691C-C99E-4C46-9585-7D70E443C00D}" uniqueName="7" name="Column7" queryTableFieldId="7" dataDxf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1F8302-B93C-46D8-A425-C78310121A78}" name="Table_0__3" displayName="Table_0__3" ref="A1:G12" tableType="queryTable" totalsRowShown="0">
  <autoFilter ref="A1:G12" xr:uid="{D18D5EAB-3147-4F0C-AAEB-7A820A35E0B7}"/>
  <tableColumns count="7">
    <tableColumn id="1" xr3:uid="{16C7AD54-CF82-47EE-A7E3-3CC1817BE8D7}" uniqueName="1" name="Column1" queryTableFieldId="1" dataDxfId="6"/>
    <tableColumn id="2" xr3:uid="{16E14436-7D10-47B2-913E-CFEBE9EFA137}" uniqueName="2" name="Column2" queryTableFieldId="2" dataDxfId="5"/>
    <tableColumn id="3" xr3:uid="{FAA01064-3422-44C7-99BE-DD1E0AA2CF18}" uniqueName="3" name="Column3" queryTableFieldId="3" dataDxfId="4"/>
    <tableColumn id="4" xr3:uid="{8856DD67-C0A2-4265-B91A-DBC753817AAE}" uniqueName="4" name="Column4" queryTableFieldId="4" dataDxfId="3"/>
    <tableColumn id="5" xr3:uid="{059B2497-604C-4A0F-B4B0-12FE232E1682}" uniqueName="5" name="Column5" queryTableFieldId="5" dataDxfId="2"/>
    <tableColumn id="6" xr3:uid="{507082DF-92A6-46D3-832C-F3FFC87ECBD0}" uniqueName="6" name="Column6" queryTableFieldId="6" dataDxfId="1"/>
    <tableColumn id="7" xr3:uid="{6C643CB1-B9F7-4473-AB8D-DF0D61F58149}" uniqueName="7" name="Column7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5143C-549C-4B77-8A00-EDCBA9D35B71}">
  <sheetPr codeName="Sheet1"/>
  <dimension ref="A1:G55"/>
  <sheetViews>
    <sheetView tabSelected="1" workbookViewId="0">
      <selection activeCell="A7" sqref="A7"/>
    </sheetView>
  </sheetViews>
  <sheetFormatPr defaultRowHeight="15" x14ac:dyDescent="0.25"/>
  <cols>
    <col min="1" max="1" width="44.42578125" bestFit="1" customWidth="1"/>
    <col min="2" max="7" width="11.140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 t="s">
        <v>7</v>
      </c>
      <c r="B2" s="3">
        <v>43906</v>
      </c>
      <c r="C2" s="3">
        <v>43907</v>
      </c>
      <c r="D2" s="3">
        <v>43908</v>
      </c>
      <c r="E2" s="3">
        <v>43909</v>
      </c>
      <c r="F2" s="3">
        <v>43910</v>
      </c>
      <c r="G2" s="1" t="s">
        <v>8</v>
      </c>
    </row>
    <row r="3" spans="1:7" x14ac:dyDescent="0.25">
      <c r="A3" s="1" t="s">
        <v>8</v>
      </c>
      <c r="B3" s="1" t="s">
        <v>9</v>
      </c>
      <c r="C3" s="1" t="s">
        <v>9</v>
      </c>
      <c r="D3" s="1" t="s">
        <v>9</v>
      </c>
      <c r="E3" s="1" t="s">
        <v>9</v>
      </c>
      <c r="F3" s="1" t="s">
        <v>9</v>
      </c>
      <c r="G3" s="1" t="s">
        <v>8</v>
      </c>
    </row>
    <row r="4" spans="1:7" x14ac:dyDescent="0.25">
      <c r="A4" s="1" t="s">
        <v>10</v>
      </c>
      <c r="B4" s="1"/>
      <c r="C4" s="1"/>
      <c r="D4" s="1"/>
      <c r="E4" s="1"/>
      <c r="F4" s="1"/>
      <c r="G4" s="1" t="s">
        <v>8</v>
      </c>
    </row>
    <row r="5" spans="1:7" x14ac:dyDescent="0.25">
      <c r="A5" s="1" t="s">
        <v>11</v>
      </c>
      <c r="B5" s="1"/>
      <c r="C5" s="1"/>
      <c r="D5" s="1"/>
      <c r="E5" s="1"/>
      <c r="F5" s="1"/>
      <c r="G5" s="1" t="s">
        <v>8</v>
      </c>
    </row>
    <row r="6" spans="1:7" x14ac:dyDescent="0.25">
      <c r="A6" s="1" t="s">
        <v>12</v>
      </c>
      <c r="B6" s="1">
        <v>679.18</v>
      </c>
      <c r="C6" s="1">
        <v>679.22</v>
      </c>
      <c r="D6" s="1">
        <v>679.22</v>
      </c>
      <c r="E6" s="1">
        <v>679.22</v>
      </c>
      <c r="F6" s="1">
        <v>719.54</v>
      </c>
      <c r="G6" s="1" t="s">
        <v>8</v>
      </c>
    </row>
    <row r="7" spans="1:7" x14ac:dyDescent="0.25">
      <c r="A7" s="1" t="s">
        <v>13</v>
      </c>
      <c r="B7" s="1">
        <v>679.18</v>
      </c>
      <c r="C7" s="1">
        <v>679.22</v>
      </c>
      <c r="D7" s="1">
        <v>679.22</v>
      </c>
      <c r="E7" s="1">
        <v>679.22</v>
      </c>
      <c r="F7" s="1">
        <v>719.54</v>
      </c>
      <c r="G7" s="1" t="s">
        <v>8</v>
      </c>
    </row>
    <row r="8" spans="1:7" x14ac:dyDescent="0.25">
      <c r="A8" s="1" t="s">
        <v>14</v>
      </c>
      <c r="B8" s="4">
        <v>78273.23</v>
      </c>
      <c r="C8" s="4">
        <v>57382.67</v>
      </c>
      <c r="D8" s="4">
        <v>94748.69</v>
      </c>
      <c r="E8" s="4">
        <v>59500.34</v>
      </c>
      <c r="F8" s="4">
        <v>61491.49</v>
      </c>
      <c r="G8" s="1" t="s">
        <v>8</v>
      </c>
    </row>
    <row r="9" spans="1:7" x14ac:dyDescent="0.25">
      <c r="A9" s="1" t="s">
        <v>15</v>
      </c>
      <c r="B9" s="4">
        <v>78273.23</v>
      </c>
      <c r="C9" s="4">
        <v>57382.67</v>
      </c>
      <c r="D9" s="4">
        <v>94748.69</v>
      </c>
      <c r="E9" s="4">
        <v>59500.34</v>
      </c>
      <c r="F9" s="4">
        <v>61491.49</v>
      </c>
      <c r="G9" s="1" t="s">
        <v>8</v>
      </c>
    </row>
    <row r="10" spans="1:7" x14ac:dyDescent="0.25">
      <c r="A10" s="1" t="s">
        <v>16</v>
      </c>
      <c r="B10" s="4">
        <v>78952.41</v>
      </c>
      <c r="C10" s="4">
        <v>58061.89</v>
      </c>
      <c r="D10" s="4">
        <v>95427.91</v>
      </c>
      <c r="E10" s="4">
        <v>60179.56</v>
      </c>
      <c r="F10" s="4">
        <v>63078.53</v>
      </c>
      <c r="G10" s="1" t="s">
        <v>8</v>
      </c>
    </row>
    <row r="11" spans="1:7" x14ac:dyDescent="0.25">
      <c r="A11" s="1" t="s">
        <v>17</v>
      </c>
      <c r="B11" s="1">
        <v>432.84</v>
      </c>
      <c r="C11" s="1">
        <v>453.17</v>
      </c>
      <c r="D11" s="1">
        <v>525.05999999999995</v>
      </c>
      <c r="E11" s="1">
        <v>523.05999999999995</v>
      </c>
      <c r="F11" s="1">
        <v>813.56</v>
      </c>
      <c r="G11" s="1" t="s">
        <v>8</v>
      </c>
    </row>
    <row r="12" spans="1:7" x14ac:dyDescent="0.25">
      <c r="A12" s="1" t="s">
        <v>18</v>
      </c>
      <c r="B12" s="1"/>
      <c r="C12" s="1"/>
      <c r="D12" s="1"/>
      <c r="E12" s="1"/>
      <c r="F12" s="1"/>
      <c r="G12" s="1" t="s">
        <v>8</v>
      </c>
    </row>
    <row r="13" spans="1:7" x14ac:dyDescent="0.25">
      <c r="A13" s="1" t="s">
        <v>19</v>
      </c>
      <c r="B13" s="4">
        <v>50510.39</v>
      </c>
      <c r="C13" s="4">
        <v>60629.18</v>
      </c>
      <c r="D13" s="4">
        <v>61199.5</v>
      </c>
      <c r="E13" s="4">
        <v>70817.5</v>
      </c>
      <c r="F13" s="4">
        <v>83315.62</v>
      </c>
      <c r="G13" s="1" t="s">
        <v>8</v>
      </c>
    </row>
    <row r="14" spans="1:7" x14ac:dyDescent="0.25">
      <c r="A14" s="1" t="s">
        <v>20</v>
      </c>
      <c r="B14" s="4">
        <v>4474.78</v>
      </c>
      <c r="C14" s="4">
        <v>1174</v>
      </c>
      <c r="D14" s="4">
        <v>6125.8</v>
      </c>
      <c r="E14" s="4">
        <v>1491.04</v>
      </c>
      <c r="F14" s="4">
        <v>1941.87</v>
      </c>
      <c r="G14" s="1" t="s">
        <v>8</v>
      </c>
    </row>
    <row r="15" spans="1:7" x14ac:dyDescent="0.25">
      <c r="A15" s="1" t="s">
        <v>21</v>
      </c>
      <c r="B15" s="4">
        <v>17830.29</v>
      </c>
      <c r="C15" s="4">
        <v>28802.14</v>
      </c>
      <c r="D15" s="4">
        <v>13904.33</v>
      </c>
      <c r="E15" s="4">
        <v>16871.09</v>
      </c>
      <c r="F15" s="4">
        <v>17780.939999999999</v>
      </c>
      <c r="G15" s="1" t="s">
        <v>8</v>
      </c>
    </row>
    <row r="16" spans="1:7" x14ac:dyDescent="0.25">
      <c r="A16" s="1" t="s">
        <v>22</v>
      </c>
      <c r="B16" s="4">
        <v>7891.01</v>
      </c>
      <c r="C16" s="4">
        <v>9004.4599999999991</v>
      </c>
      <c r="D16" s="4">
        <v>10948.44</v>
      </c>
      <c r="E16" s="4">
        <v>11854.85</v>
      </c>
      <c r="F16" s="4">
        <v>14736.69</v>
      </c>
      <c r="G16" s="1" t="s">
        <v>8</v>
      </c>
    </row>
    <row r="17" spans="1:7" x14ac:dyDescent="0.25">
      <c r="A17" s="1" t="s">
        <v>23</v>
      </c>
      <c r="B17" s="4">
        <v>80706.47</v>
      </c>
      <c r="C17" s="4">
        <v>99609.78</v>
      </c>
      <c r="D17" s="4">
        <v>92178.07</v>
      </c>
      <c r="E17" s="4">
        <v>101034.48</v>
      </c>
      <c r="F17" s="4">
        <v>117775.12</v>
      </c>
      <c r="G17" s="1" t="s">
        <v>8</v>
      </c>
    </row>
    <row r="18" spans="1:7" x14ac:dyDescent="0.25">
      <c r="A18" s="1" t="s">
        <v>24</v>
      </c>
      <c r="B18" s="1"/>
      <c r="C18" s="1"/>
      <c r="D18" s="1"/>
      <c r="E18" s="1"/>
      <c r="F18" s="1"/>
      <c r="G18" s="1" t="s">
        <v>8</v>
      </c>
    </row>
    <row r="19" spans="1:7" x14ac:dyDescent="0.25">
      <c r="A19" s="1" t="s">
        <v>25</v>
      </c>
      <c r="B19" s="4">
        <v>11450.78</v>
      </c>
      <c r="C19" s="4">
        <v>13859.94</v>
      </c>
      <c r="D19" s="4">
        <v>16794.849999999999</v>
      </c>
      <c r="E19" s="4">
        <v>20150.259999999998</v>
      </c>
      <c r="F19" s="4">
        <v>16362.53</v>
      </c>
      <c r="G19" s="1" t="s">
        <v>8</v>
      </c>
    </row>
    <row r="20" spans="1:7" x14ac:dyDescent="0.25">
      <c r="A20" s="1" t="s">
        <v>26</v>
      </c>
      <c r="B20" s="4">
        <v>57580.46</v>
      </c>
      <c r="C20" s="4">
        <v>62532.57</v>
      </c>
      <c r="D20" s="4">
        <v>76939.83</v>
      </c>
      <c r="E20" s="4">
        <v>68513.53</v>
      </c>
      <c r="F20" s="4">
        <v>63626.879999999997</v>
      </c>
      <c r="G20" s="1" t="s">
        <v>8</v>
      </c>
    </row>
    <row r="21" spans="1:7" x14ac:dyDescent="0.25">
      <c r="A21" s="1" t="s">
        <v>27</v>
      </c>
      <c r="B21" s="4">
        <v>32173.68</v>
      </c>
      <c r="C21" s="4">
        <v>33429.25</v>
      </c>
      <c r="D21" s="4">
        <v>41531.29</v>
      </c>
      <c r="E21" s="4">
        <v>46596.89</v>
      </c>
      <c r="F21" s="4">
        <v>50135.6</v>
      </c>
      <c r="G21" s="1" t="s">
        <v>8</v>
      </c>
    </row>
    <row r="22" spans="1:7" x14ac:dyDescent="0.25">
      <c r="A22" s="1" t="s">
        <v>28</v>
      </c>
      <c r="B22" s="4">
        <v>5844.51</v>
      </c>
      <c r="C22" s="4">
        <v>5807.76</v>
      </c>
      <c r="D22" s="4">
        <v>7953.5</v>
      </c>
      <c r="E22" s="4">
        <v>10196.75</v>
      </c>
      <c r="F22" s="4">
        <v>10329.040000000001</v>
      </c>
      <c r="G22" s="1" t="s">
        <v>8</v>
      </c>
    </row>
    <row r="23" spans="1:7" x14ac:dyDescent="0.25">
      <c r="A23" s="1" t="s">
        <v>29</v>
      </c>
      <c r="B23" s="4">
        <v>107049.43</v>
      </c>
      <c r="C23" s="4">
        <v>115629.52</v>
      </c>
      <c r="D23" s="4">
        <v>143219.47</v>
      </c>
      <c r="E23" s="4">
        <v>145457.43</v>
      </c>
      <c r="F23" s="4">
        <v>140454.04999999999</v>
      </c>
      <c r="G23" s="1" t="s">
        <v>8</v>
      </c>
    </row>
    <row r="24" spans="1:7" x14ac:dyDescent="0.25">
      <c r="A24" s="1" t="s">
        <v>30</v>
      </c>
      <c r="B24" s="4">
        <v>267141.15000000002</v>
      </c>
      <c r="C24" s="4">
        <v>273754.36</v>
      </c>
      <c r="D24" s="4">
        <v>331350.51</v>
      </c>
      <c r="E24" s="4">
        <v>307194.53000000003</v>
      </c>
      <c r="F24" s="4">
        <v>322121.26</v>
      </c>
      <c r="G24" s="1" t="s">
        <v>8</v>
      </c>
    </row>
    <row r="25" spans="1:7" x14ac:dyDescent="0.25">
      <c r="A25" s="1" t="s">
        <v>31</v>
      </c>
      <c r="B25" s="1"/>
      <c r="C25" s="1"/>
      <c r="D25" s="1"/>
      <c r="E25" s="1"/>
      <c r="F25" s="1"/>
      <c r="G25" s="1" t="s">
        <v>8</v>
      </c>
    </row>
    <row r="26" spans="1:7" x14ac:dyDescent="0.25">
      <c r="A26" s="1" t="s">
        <v>32</v>
      </c>
      <c r="B26" s="1"/>
      <c r="C26" s="1"/>
      <c r="D26" s="1"/>
      <c r="E26" s="1"/>
      <c r="F26" s="1"/>
      <c r="G26" s="1" t="s">
        <v>8</v>
      </c>
    </row>
    <row r="27" spans="1:7" x14ac:dyDescent="0.25">
      <c r="A27" s="1" t="s">
        <v>33</v>
      </c>
      <c r="B27" s="4">
        <v>64927.07</v>
      </c>
      <c r="C27" s="4">
        <v>59594.559999999998</v>
      </c>
      <c r="D27" s="4">
        <v>73867.839999999997</v>
      </c>
      <c r="E27" s="4">
        <v>72619.86</v>
      </c>
      <c r="F27" s="4">
        <v>84158.17</v>
      </c>
      <c r="G27" s="1" t="s">
        <v>8</v>
      </c>
    </row>
    <row r="28" spans="1:7" x14ac:dyDescent="0.25">
      <c r="A28" s="1" t="s">
        <v>34</v>
      </c>
      <c r="B28" s="4">
        <v>41544.89</v>
      </c>
      <c r="C28" s="4">
        <v>35676.199999999997</v>
      </c>
      <c r="D28" s="4">
        <v>47429.57</v>
      </c>
      <c r="E28" s="4">
        <v>37866.74</v>
      </c>
      <c r="F28" s="4">
        <v>42171.91</v>
      </c>
      <c r="G28" s="1" t="s">
        <v>8</v>
      </c>
    </row>
    <row r="29" spans="1:7" x14ac:dyDescent="0.25">
      <c r="A29" s="1" t="s">
        <v>35</v>
      </c>
      <c r="B29" s="4">
        <v>6550.97</v>
      </c>
      <c r="C29" s="4">
        <v>10186.83</v>
      </c>
      <c r="D29" s="4">
        <v>16142.94</v>
      </c>
      <c r="E29" s="4">
        <v>8538.17</v>
      </c>
      <c r="F29" s="4">
        <v>8599.56</v>
      </c>
      <c r="G29" s="1" t="s">
        <v>8</v>
      </c>
    </row>
    <row r="30" spans="1:7" x14ac:dyDescent="0.25">
      <c r="A30" s="1" t="s">
        <v>36</v>
      </c>
      <c r="B30" s="4">
        <v>132390.9</v>
      </c>
      <c r="C30" s="4">
        <v>128969.60000000001</v>
      </c>
      <c r="D30" s="4">
        <v>161330.91</v>
      </c>
      <c r="E30" s="4">
        <v>142370.44</v>
      </c>
      <c r="F30" s="4">
        <v>161952.37</v>
      </c>
      <c r="G30" s="1" t="s">
        <v>8</v>
      </c>
    </row>
    <row r="31" spans="1:7" x14ac:dyDescent="0.25">
      <c r="A31" s="1" t="s">
        <v>37</v>
      </c>
      <c r="B31" s="4">
        <v>4533.9799999999996</v>
      </c>
      <c r="C31" s="4">
        <v>5296.77</v>
      </c>
      <c r="D31" s="4">
        <v>5651.65</v>
      </c>
      <c r="E31" s="4">
        <v>6240.89</v>
      </c>
      <c r="F31" s="4">
        <v>5446.94</v>
      </c>
      <c r="G31" s="1" t="s">
        <v>8</v>
      </c>
    </row>
    <row r="32" spans="1:7" x14ac:dyDescent="0.25">
      <c r="A32" s="1" t="s">
        <v>38</v>
      </c>
      <c r="B32" s="4">
        <v>3957.03</v>
      </c>
      <c r="C32" s="4">
        <v>4457.34</v>
      </c>
      <c r="D32" s="4">
        <v>4158.7</v>
      </c>
      <c r="E32" s="4">
        <v>5151.1099999999997</v>
      </c>
      <c r="F32" s="4">
        <v>5457.9</v>
      </c>
      <c r="G32" s="1" t="s">
        <v>8</v>
      </c>
    </row>
    <row r="33" spans="1:7" x14ac:dyDescent="0.25">
      <c r="A33" s="1" t="s">
        <v>39</v>
      </c>
      <c r="B33" s="1">
        <v>503.88</v>
      </c>
      <c r="C33" s="1">
        <v>753.66</v>
      </c>
      <c r="D33" s="1">
        <v>495.41</v>
      </c>
      <c r="E33" s="1">
        <v>407.42</v>
      </c>
      <c r="F33" s="1">
        <v>782.78</v>
      </c>
      <c r="G33" s="1" t="s">
        <v>8</v>
      </c>
    </row>
    <row r="34" spans="1:7" x14ac:dyDescent="0.25">
      <c r="A34" s="1" t="s">
        <v>40</v>
      </c>
      <c r="B34" s="4">
        <v>15071.89</v>
      </c>
      <c r="C34" s="4">
        <v>17483.919999999998</v>
      </c>
      <c r="D34" s="4">
        <v>23624.55</v>
      </c>
      <c r="E34" s="4">
        <v>28845.64</v>
      </c>
      <c r="F34" s="4">
        <v>28116.959999999999</v>
      </c>
      <c r="G34" s="1" t="s">
        <v>8</v>
      </c>
    </row>
    <row r="35" spans="1:7" x14ac:dyDescent="0.25">
      <c r="A35" s="1" t="s">
        <v>41</v>
      </c>
      <c r="B35" s="4">
        <v>157217.48000000001</v>
      </c>
      <c r="C35" s="4">
        <v>157634.60999999999</v>
      </c>
      <c r="D35" s="4">
        <v>195377.67</v>
      </c>
      <c r="E35" s="4">
        <v>183763.37</v>
      </c>
      <c r="F35" s="4">
        <v>202534.01</v>
      </c>
      <c r="G35" s="1" t="s">
        <v>8</v>
      </c>
    </row>
    <row r="36" spans="1:7" x14ac:dyDescent="0.25">
      <c r="A36" s="1" t="s">
        <v>42</v>
      </c>
      <c r="B36" s="1"/>
      <c r="C36" s="1"/>
      <c r="D36" s="1"/>
      <c r="E36" s="1"/>
      <c r="F36" s="1"/>
      <c r="G36" s="1" t="s">
        <v>8</v>
      </c>
    </row>
    <row r="37" spans="1:7" x14ac:dyDescent="0.25">
      <c r="A37" s="1" t="s">
        <v>43</v>
      </c>
      <c r="B37" s="4">
        <v>19233.04</v>
      </c>
      <c r="C37" s="4">
        <v>15041.15</v>
      </c>
      <c r="D37" s="4">
        <v>15161.1</v>
      </c>
      <c r="E37" s="4">
        <v>9529.83</v>
      </c>
      <c r="F37" s="4">
        <v>10861.54</v>
      </c>
      <c r="G37" s="1" t="s">
        <v>8</v>
      </c>
    </row>
    <row r="38" spans="1:7" x14ac:dyDescent="0.25">
      <c r="A38" s="1" t="s">
        <v>44</v>
      </c>
      <c r="B38" s="4">
        <v>32655.73</v>
      </c>
      <c r="C38" s="4">
        <v>35085.31</v>
      </c>
      <c r="D38" s="4">
        <v>42137.63</v>
      </c>
      <c r="E38" s="4">
        <v>39013.730000000003</v>
      </c>
      <c r="F38" s="4">
        <v>37456.879999999997</v>
      </c>
      <c r="G38" s="1" t="s">
        <v>8</v>
      </c>
    </row>
    <row r="39" spans="1:7" x14ac:dyDescent="0.25">
      <c r="A39" s="1" t="s">
        <v>45</v>
      </c>
      <c r="B39" s="4">
        <v>13570.91</v>
      </c>
      <c r="C39" s="4">
        <v>14075.55</v>
      </c>
      <c r="D39" s="4">
        <v>19893.3</v>
      </c>
      <c r="E39" s="4">
        <v>18996.169999999998</v>
      </c>
      <c r="F39" s="4">
        <v>11172.69</v>
      </c>
      <c r="G39" s="1" t="s">
        <v>8</v>
      </c>
    </row>
    <row r="40" spans="1:7" x14ac:dyDescent="0.25">
      <c r="A40" s="1" t="s">
        <v>46</v>
      </c>
      <c r="B40" s="4">
        <v>30460.400000000001</v>
      </c>
      <c r="C40" s="4">
        <v>36077.879999999997</v>
      </c>
      <c r="D40" s="4">
        <v>34613.910000000003</v>
      </c>
      <c r="E40" s="4">
        <v>32648.82</v>
      </c>
      <c r="F40" s="4">
        <v>33726.97</v>
      </c>
      <c r="G40" s="1" t="s">
        <v>8</v>
      </c>
    </row>
    <row r="41" spans="1:7" x14ac:dyDescent="0.25">
      <c r="A41" s="1" t="s">
        <v>47</v>
      </c>
      <c r="B41" s="4">
        <v>1117.0999999999999</v>
      </c>
      <c r="C41" s="1">
        <v>710.45</v>
      </c>
      <c r="D41" s="4">
        <v>2279.66</v>
      </c>
      <c r="E41" s="4">
        <v>1268.7</v>
      </c>
      <c r="F41" s="1">
        <v>935.25</v>
      </c>
      <c r="G41" s="1" t="s">
        <v>8</v>
      </c>
    </row>
    <row r="42" spans="1:7" x14ac:dyDescent="0.25">
      <c r="A42" s="1" t="s">
        <v>48</v>
      </c>
      <c r="B42" s="4">
        <v>12886.49</v>
      </c>
      <c r="C42" s="4">
        <v>15129.41</v>
      </c>
      <c r="D42" s="4">
        <v>21887.24</v>
      </c>
      <c r="E42" s="4">
        <v>21973.91</v>
      </c>
      <c r="F42" s="4">
        <v>25433.919999999998</v>
      </c>
      <c r="G42" s="1" t="s">
        <v>8</v>
      </c>
    </row>
    <row r="43" spans="1:7" x14ac:dyDescent="0.25">
      <c r="A43" s="1" t="s">
        <v>49</v>
      </c>
      <c r="B43" s="4">
        <v>109923.67</v>
      </c>
      <c r="C43" s="4">
        <v>116119.75</v>
      </c>
      <c r="D43" s="4">
        <v>135972.84</v>
      </c>
      <c r="E43" s="4">
        <v>123431.16</v>
      </c>
      <c r="F43" s="4">
        <v>119587.25</v>
      </c>
      <c r="G43" s="1" t="s">
        <v>8</v>
      </c>
    </row>
    <row r="44" spans="1:7" x14ac:dyDescent="0.25">
      <c r="A44" s="1" t="s">
        <v>50</v>
      </c>
      <c r="B44" s="4">
        <v>267141.15000000002</v>
      </c>
      <c r="C44" s="4">
        <v>273754.36</v>
      </c>
      <c r="D44" s="4">
        <v>331350.51</v>
      </c>
      <c r="E44" s="4">
        <v>307194.53000000003</v>
      </c>
      <c r="F44" s="4">
        <v>322121.26</v>
      </c>
      <c r="G44" s="1" t="s">
        <v>8</v>
      </c>
    </row>
    <row r="45" spans="1:7" x14ac:dyDescent="0.25">
      <c r="A45" s="1" t="s">
        <v>51</v>
      </c>
      <c r="B45" s="1"/>
      <c r="C45" s="1"/>
      <c r="D45" s="1"/>
      <c r="E45" s="1"/>
      <c r="F45" s="1"/>
      <c r="G45" s="1" t="s">
        <v>8</v>
      </c>
    </row>
    <row r="46" spans="1:7" x14ac:dyDescent="0.25">
      <c r="A46" s="1" t="s">
        <v>52</v>
      </c>
      <c r="B46" s="1"/>
      <c r="C46" s="1"/>
      <c r="D46" s="1"/>
      <c r="E46" s="1"/>
      <c r="F46" s="1"/>
      <c r="G46" s="1" t="s">
        <v>8</v>
      </c>
    </row>
    <row r="47" spans="1:7" x14ac:dyDescent="0.25">
      <c r="A47" s="1" t="s">
        <v>53</v>
      </c>
      <c r="B47" s="4">
        <v>43504.88</v>
      </c>
      <c r="C47" s="4">
        <v>24214.53</v>
      </c>
      <c r="D47" s="4">
        <v>15431.46</v>
      </c>
      <c r="E47" s="4">
        <v>17148.64</v>
      </c>
      <c r="F47" s="4">
        <v>15590.75</v>
      </c>
      <c r="G47" s="1" t="s">
        <v>8</v>
      </c>
    </row>
    <row r="48" spans="1:7" x14ac:dyDescent="0.25">
      <c r="A48" s="1" t="s">
        <v>54</v>
      </c>
      <c r="B48" s="1"/>
      <c r="C48" s="1"/>
      <c r="D48" s="1"/>
      <c r="E48" s="1"/>
      <c r="F48" s="1"/>
      <c r="G48" s="1" t="s">
        <v>8</v>
      </c>
    </row>
    <row r="49" spans="1:7" x14ac:dyDescent="0.25">
      <c r="A49" s="1" t="s">
        <v>55</v>
      </c>
      <c r="B49" s="1">
        <v>111.29</v>
      </c>
      <c r="C49" s="1">
        <v>111.29</v>
      </c>
      <c r="D49" s="1">
        <v>111.29</v>
      </c>
      <c r="E49" s="1">
        <v>111.29</v>
      </c>
      <c r="F49" s="1">
        <v>111.29</v>
      </c>
      <c r="G49" s="1" t="s">
        <v>8</v>
      </c>
    </row>
    <row r="50" spans="1:7" x14ac:dyDescent="0.25">
      <c r="A50" s="1" t="s">
        <v>56</v>
      </c>
      <c r="B50" s="1"/>
      <c r="C50" s="1"/>
      <c r="D50" s="1"/>
      <c r="E50" s="1"/>
      <c r="F50" s="1"/>
      <c r="G50" s="1" t="s">
        <v>8</v>
      </c>
    </row>
    <row r="51" spans="1:7" x14ac:dyDescent="0.25">
      <c r="A51" s="1" t="s">
        <v>57</v>
      </c>
      <c r="B51" s="1">
        <v>210.5</v>
      </c>
      <c r="C51" s="1">
        <v>285.38</v>
      </c>
      <c r="D51" s="1">
        <v>36.64</v>
      </c>
      <c r="E51" s="1">
        <v>726.53</v>
      </c>
      <c r="F51" s="1">
        <v>316.45999999999998</v>
      </c>
      <c r="G51" s="1" t="s">
        <v>8</v>
      </c>
    </row>
    <row r="52" spans="1:7" x14ac:dyDescent="0.25">
      <c r="A52" s="1" t="s">
        <v>58</v>
      </c>
      <c r="B52" s="1">
        <v>559.54</v>
      </c>
      <c r="C52" s="1">
        <v>405.38</v>
      </c>
      <c r="D52" s="1">
        <v>727.12</v>
      </c>
      <c r="E52" s="1">
        <v>770.98</v>
      </c>
      <c r="F52" s="1">
        <v>711.59</v>
      </c>
      <c r="G52" s="1" t="s">
        <v>8</v>
      </c>
    </row>
    <row r="53" spans="1:7" x14ac:dyDescent="0.25">
      <c r="A53" s="1" t="s">
        <v>59</v>
      </c>
      <c r="B53" s="1"/>
      <c r="C53" s="1"/>
      <c r="D53" s="1"/>
      <c r="E53" s="1"/>
      <c r="F53" s="1"/>
      <c r="G53" s="1" t="s">
        <v>8</v>
      </c>
    </row>
    <row r="54" spans="1:7" x14ac:dyDescent="0.25">
      <c r="A54" s="1" t="s">
        <v>60</v>
      </c>
      <c r="B54" s="1">
        <v>0</v>
      </c>
      <c r="C54" s="1">
        <v>0</v>
      </c>
      <c r="D54" s="1">
        <v>303.27999999999997</v>
      </c>
      <c r="E54" s="1">
        <v>0.92</v>
      </c>
      <c r="F54" s="1">
        <v>0</v>
      </c>
      <c r="G54" s="1" t="s">
        <v>8</v>
      </c>
    </row>
    <row r="55" spans="1:7" x14ac:dyDescent="0.25">
      <c r="A55" s="1" t="s">
        <v>61</v>
      </c>
      <c r="B55" s="4">
        <v>19233.04</v>
      </c>
      <c r="C55" s="4">
        <v>15041.15</v>
      </c>
      <c r="D55" s="4">
        <v>14360.47</v>
      </c>
      <c r="E55" s="4">
        <v>8937.41</v>
      </c>
      <c r="F55" s="4">
        <v>10861.54</v>
      </c>
      <c r="G55" s="1" t="s">
        <v>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940F-6738-4B05-AC47-7771780CE437}">
  <sheetPr codeName="Sheet2"/>
  <dimension ref="A1:G39"/>
  <sheetViews>
    <sheetView topLeftCell="A11" workbookViewId="0">
      <selection activeCell="B30" sqref="B30"/>
    </sheetView>
  </sheetViews>
  <sheetFormatPr defaultRowHeight="15" x14ac:dyDescent="0.25"/>
  <cols>
    <col min="1" max="1" width="55.28515625" bestFit="1" customWidth="1"/>
    <col min="2" max="7" width="11.140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 t="s">
        <v>62</v>
      </c>
      <c r="B2" s="3">
        <v>43910</v>
      </c>
      <c r="C2" s="3">
        <v>43909</v>
      </c>
      <c r="D2" s="3">
        <v>43908</v>
      </c>
      <c r="E2" s="3">
        <v>43907</v>
      </c>
      <c r="F2" s="3">
        <v>43906</v>
      </c>
      <c r="G2" s="1" t="s">
        <v>8</v>
      </c>
    </row>
    <row r="3" spans="1:7" x14ac:dyDescent="0.25">
      <c r="A3" s="1" t="s">
        <v>8</v>
      </c>
      <c r="B3" s="1" t="s">
        <v>9</v>
      </c>
      <c r="C3" s="1" t="s">
        <v>9</v>
      </c>
      <c r="D3" s="1" t="s">
        <v>9</v>
      </c>
      <c r="E3" s="1" t="s">
        <v>9</v>
      </c>
      <c r="F3" s="1" t="s">
        <v>9</v>
      </c>
      <c r="G3" s="1" t="s">
        <v>8</v>
      </c>
    </row>
    <row r="4" spans="1:7" x14ac:dyDescent="0.25">
      <c r="A4" s="1" t="s">
        <v>63</v>
      </c>
      <c r="B4" s="1"/>
      <c r="C4" s="1"/>
      <c r="D4" s="1"/>
      <c r="E4" s="1"/>
      <c r="F4" s="1"/>
      <c r="G4" s="1" t="s">
        <v>8</v>
      </c>
    </row>
    <row r="5" spans="1:7" x14ac:dyDescent="0.25">
      <c r="A5" s="1" t="s">
        <v>64</v>
      </c>
      <c r="B5" s="4">
        <v>258594.36</v>
      </c>
      <c r="C5" s="4">
        <v>299190.59000000003</v>
      </c>
      <c r="D5" s="4">
        <v>289386.25</v>
      </c>
      <c r="E5" s="4">
        <v>270298.08</v>
      </c>
      <c r="F5" s="4">
        <v>274175.09999999998</v>
      </c>
      <c r="G5" s="1" t="s">
        <v>8</v>
      </c>
    </row>
    <row r="6" spans="1:7" x14ac:dyDescent="0.25">
      <c r="A6" s="1" t="s">
        <v>65</v>
      </c>
      <c r="B6" s="4">
        <v>0</v>
      </c>
      <c r="C6" s="4">
        <v>0</v>
      </c>
      <c r="D6" s="1">
        <v>790.16</v>
      </c>
      <c r="E6" s="1">
        <v>4799.6099999999997</v>
      </c>
      <c r="F6" s="1">
        <v>4614.99</v>
      </c>
      <c r="G6" s="1" t="s">
        <v>8</v>
      </c>
    </row>
    <row r="7" spans="1:7" x14ac:dyDescent="0.25">
      <c r="A7" s="1" t="s">
        <v>66</v>
      </c>
      <c r="B7" s="4">
        <v>258594.36</v>
      </c>
      <c r="C7" s="4">
        <v>299190.59000000003</v>
      </c>
      <c r="D7" s="4">
        <v>288596.09000000003</v>
      </c>
      <c r="E7" s="4">
        <v>265498.46999999997</v>
      </c>
      <c r="F7" s="4">
        <v>269560.11</v>
      </c>
      <c r="G7" s="1" t="s">
        <v>8</v>
      </c>
    </row>
    <row r="8" spans="1:7" x14ac:dyDescent="0.25">
      <c r="A8" s="1" t="s">
        <v>67</v>
      </c>
      <c r="B8" s="4">
        <v>261067.97</v>
      </c>
      <c r="C8" s="4">
        <v>301938.40000000002</v>
      </c>
      <c r="D8" s="4">
        <v>294619.18</v>
      </c>
      <c r="E8" s="4">
        <v>269692.51</v>
      </c>
      <c r="F8" s="4">
        <v>273045.59999999998</v>
      </c>
      <c r="G8" s="1" t="s">
        <v>8</v>
      </c>
    </row>
    <row r="9" spans="1:7" x14ac:dyDescent="0.25">
      <c r="A9" s="1" t="s">
        <v>68</v>
      </c>
      <c r="B9" s="1">
        <v>2973.15</v>
      </c>
      <c r="C9" s="1">
        <v>2965.31</v>
      </c>
      <c r="D9" s="1">
        <v>888.89</v>
      </c>
      <c r="E9" s="4">
        <v>754.54</v>
      </c>
      <c r="F9" s="4">
        <v>885.35</v>
      </c>
      <c r="G9" s="1" t="s">
        <v>8</v>
      </c>
    </row>
    <row r="10" spans="1:7" x14ac:dyDescent="0.25">
      <c r="A10" s="1" t="s">
        <v>69</v>
      </c>
      <c r="B10" s="4">
        <v>264041.12</v>
      </c>
      <c r="C10" s="4">
        <v>304903.71000000002</v>
      </c>
      <c r="D10" s="4">
        <v>295508.07</v>
      </c>
      <c r="E10" s="4">
        <v>270447.05</v>
      </c>
      <c r="F10" s="4">
        <v>273930.95</v>
      </c>
      <c r="G10" s="1" t="s">
        <v>8</v>
      </c>
    </row>
    <row r="11" spans="1:7" x14ac:dyDescent="0.25">
      <c r="A11" s="1" t="s">
        <v>70</v>
      </c>
      <c r="B11" s="1"/>
      <c r="C11" s="1"/>
      <c r="D11" s="1"/>
      <c r="E11" s="1"/>
      <c r="F11" s="1"/>
      <c r="G11" s="1" t="s">
        <v>8</v>
      </c>
    </row>
    <row r="12" spans="1:7" x14ac:dyDescent="0.25">
      <c r="A12" s="1" t="s">
        <v>71</v>
      </c>
      <c r="B12" s="4">
        <v>152671.47</v>
      </c>
      <c r="C12" s="4">
        <v>181009.08</v>
      </c>
      <c r="D12" s="4">
        <v>171992.59</v>
      </c>
      <c r="E12" s="4">
        <v>159369.54999999999</v>
      </c>
      <c r="F12" s="4">
        <v>153292.49</v>
      </c>
      <c r="G12" s="1" t="s">
        <v>8</v>
      </c>
    </row>
    <row r="13" spans="1:7" x14ac:dyDescent="0.25">
      <c r="A13" s="1" t="s">
        <v>72</v>
      </c>
      <c r="B13" s="4">
        <v>4188.49</v>
      </c>
      <c r="C13" s="4">
        <v>4224.57</v>
      </c>
      <c r="D13" s="4">
        <v>3531.87</v>
      </c>
      <c r="E13" s="4">
        <v>3413.57</v>
      </c>
      <c r="F13" s="4">
        <v>3468.77</v>
      </c>
      <c r="G13" s="1" t="s">
        <v>8</v>
      </c>
    </row>
    <row r="14" spans="1:7" x14ac:dyDescent="0.25">
      <c r="A14" s="1" t="s">
        <v>73</v>
      </c>
      <c r="B14" s="4">
        <v>30438.6</v>
      </c>
      <c r="C14" s="4">
        <v>33243.870000000003</v>
      </c>
      <c r="D14" s="4">
        <v>30300.09</v>
      </c>
      <c r="E14" s="4">
        <v>28332.89</v>
      </c>
      <c r="F14" s="4">
        <v>28880.89</v>
      </c>
      <c r="G14" s="1" t="s">
        <v>8</v>
      </c>
    </row>
    <row r="15" spans="1:7" x14ac:dyDescent="0.25">
      <c r="A15" s="1" t="s">
        <v>74</v>
      </c>
      <c r="B15" s="4">
        <v>7243.33</v>
      </c>
      <c r="C15" s="4">
        <v>5758.6</v>
      </c>
      <c r="D15" s="4">
        <v>4681.79</v>
      </c>
      <c r="E15" s="4">
        <v>4238.01</v>
      </c>
      <c r="F15" s="4">
        <v>4889.08</v>
      </c>
      <c r="G15" s="1" t="s">
        <v>8</v>
      </c>
    </row>
    <row r="16" spans="1:7" x14ac:dyDescent="0.25">
      <c r="A16" s="1" t="s">
        <v>75</v>
      </c>
      <c r="B16" s="4">
        <v>21425.43</v>
      </c>
      <c r="C16" s="4">
        <v>23590.63</v>
      </c>
      <c r="D16" s="4">
        <v>21553.59</v>
      </c>
      <c r="E16" s="4">
        <v>17904.990000000002</v>
      </c>
      <c r="F16" s="4">
        <v>16710.78</v>
      </c>
      <c r="G16" s="1" t="s">
        <v>8</v>
      </c>
    </row>
    <row r="17" spans="1:7" x14ac:dyDescent="0.25">
      <c r="A17" s="1" t="s">
        <v>76</v>
      </c>
      <c r="B17" s="4">
        <v>58826.2</v>
      </c>
      <c r="C17" s="4">
        <v>63144.03</v>
      </c>
      <c r="D17" s="4">
        <v>58998.93</v>
      </c>
      <c r="E17" s="4">
        <v>59340.160000000003</v>
      </c>
      <c r="F17" s="4">
        <v>57300.63</v>
      </c>
      <c r="G17" s="1" t="s">
        <v>8</v>
      </c>
    </row>
    <row r="18" spans="1:7" x14ac:dyDescent="0.25">
      <c r="A18" s="1" t="s">
        <v>77</v>
      </c>
      <c r="B18" s="4">
        <v>271749.65999999997</v>
      </c>
      <c r="C18" s="4">
        <v>306623.3</v>
      </c>
      <c r="D18" s="4">
        <v>286328.18</v>
      </c>
      <c r="E18" s="4">
        <v>262246.82</v>
      </c>
      <c r="F18" s="4">
        <v>257954.83</v>
      </c>
      <c r="G18" s="1" t="s">
        <v>8</v>
      </c>
    </row>
    <row r="19" spans="1:7" x14ac:dyDescent="0.25">
      <c r="A19" s="1" t="s">
        <v>78</v>
      </c>
      <c r="B19" s="4">
        <v>-7708.54</v>
      </c>
      <c r="C19" s="4">
        <v>-1719.59</v>
      </c>
      <c r="D19" s="4">
        <v>9179.89</v>
      </c>
      <c r="E19" s="4">
        <v>8200.23</v>
      </c>
      <c r="F19" s="4">
        <v>15976.12</v>
      </c>
      <c r="G19" s="1" t="s">
        <v>8</v>
      </c>
    </row>
    <row r="20" spans="1:7" x14ac:dyDescent="0.25">
      <c r="A20" s="1" t="s">
        <v>79</v>
      </c>
      <c r="B20" s="4">
        <v>-2871.44</v>
      </c>
      <c r="C20" s="4">
        <v>-29651.56</v>
      </c>
      <c r="D20" s="4">
        <v>1975.14</v>
      </c>
      <c r="E20" s="4">
        <v>1114.56</v>
      </c>
      <c r="F20" s="4">
        <v>-1850.35</v>
      </c>
      <c r="G20" s="1" t="s">
        <v>8</v>
      </c>
    </row>
    <row r="21" spans="1:7" x14ac:dyDescent="0.25">
      <c r="A21" s="1" t="s">
        <v>80</v>
      </c>
      <c r="B21" s="4">
        <v>-10579.98</v>
      </c>
      <c r="C21" s="4">
        <v>-31371.15</v>
      </c>
      <c r="D21" s="4">
        <v>11155.03</v>
      </c>
      <c r="E21" s="4">
        <v>9314.7900000000009</v>
      </c>
      <c r="F21" s="4">
        <v>14125.77</v>
      </c>
      <c r="G21" s="1" t="s">
        <v>8</v>
      </c>
    </row>
    <row r="22" spans="1:7" x14ac:dyDescent="0.25">
      <c r="A22" s="1" t="s">
        <v>81</v>
      </c>
      <c r="B22" s="1"/>
      <c r="C22" s="1"/>
      <c r="D22" s="1"/>
      <c r="E22" s="1"/>
      <c r="F22" s="1"/>
      <c r="G22" s="1" t="s">
        <v>8</v>
      </c>
    </row>
    <row r="23" spans="1:7" x14ac:dyDescent="0.25">
      <c r="A23" s="1" t="s">
        <v>82</v>
      </c>
      <c r="B23" s="4">
        <v>1893.05</v>
      </c>
      <c r="C23" s="4">
        <v>2225.23</v>
      </c>
      <c r="D23" s="4">
        <v>3303.46</v>
      </c>
      <c r="E23" s="4">
        <v>3137.66</v>
      </c>
      <c r="F23" s="4">
        <v>1862.05</v>
      </c>
      <c r="G23" s="1" t="s">
        <v>8</v>
      </c>
    </row>
    <row r="24" spans="1:7" x14ac:dyDescent="0.25">
      <c r="A24" s="1" t="s">
        <v>83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 t="s">
        <v>8</v>
      </c>
    </row>
    <row r="25" spans="1:7" x14ac:dyDescent="0.25">
      <c r="A25" s="1" t="s">
        <v>84</v>
      </c>
      <c r="B25" s="4">
        <v>-1497.8</v>
      </c>
      <c r="C25" s="1">
        <v>-4662.68</v>
      </c>
      <c r="D25" s="4">
        <v>1038.47</v>
      </c>
      <c r="E25" s="4">
        <v>113.57</v>
      </c>
      <c r="F25" s="4">
        <v>1163</v>
      </c>
      <c r="G25" s="1" t="s">
        <v>8</v>
      </c>
    </row>
    <row r="26" spans="1:7" x14ac:dyDescent="0.25">
      <c r="A26" s="1" t="s">
        <v>85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 t="s">
        <v>8</v>
      </c>
    </row>
    <row r="27" spans="1:7" x14ac:dyDescent="0.25">
      <c r="A27" s="1" t="s">
        <v>86</v>
      </c>
      <c r="B27" s="4">
        <v>395.25</v>
      </c>
      <c r="C27" s="4">
        <v>-2437.4499999999998</v>
      </c>
      <c r="D27" s="4">
        <v>4341.93</v>
      </c>
      <c r="E27" s="4">
        <v>3251.23</v>
      </c>
      <c r="F27" s="1">
        <v>3025.05</v>
      </c>
      <c r="G27" s="1" t="s">
        <v>8</v>
      </c>
    </row>
    <row r="28" spans="1:7" x14ac:dyDescent="0.25">
      <c r="A28" s="1" t="s">
        <v>87</v>
      </c>
      <c r="B28" s="4">
        <v>-10975.23</v>
      </c>
      <c r="C28" s="4">
        <v>-28933.7</v>
      </c>
      <c r="D28" s="4">
        <v>6813.1</v>
      </c>
      <c r="E28" s="4">
        <v>6063.56</v>
      </c>
      <c r="F28" s="4">
        <v>11100.72</v>
      </c>
      <c r="G28" s="1" t="s">
        <v>8</v>
      </c>
    </row>
    <row r="29" spans="1:7" x14ac:dyDescent="0.25">
      <c r="A29" s="1" t="s">
        <v>88</v>
      </c>
      <c r="B29" s="4">
        <v>-10975.23</v>
      </c>
      <c r="C29" s="4">
        <v>-28933.7</v>
      </c>
      <c r="D29" s="4">
        <v>6813.1</v>
      </c>
      <c r="E29" s="4">
        <v>6063.56</v>
      </c>
      <c r="F29" s="4">
        <v>11100.72</v>
      </c>
      <c r="G29" s="1" t="s">
        <v>8</v>
      </c>
    </row>
    <row r="30" spans="1:7" x14ac:dyDescent="0.25">
      <c r="A30" s="1" t="s">
        <v>89</v>
      </c>
      <c r="B30" s="4">
        <v>-10975.23</v>
      </c>
      <c r="C30" s="4">
        <v>-28933.7</v>
      </c>
      <c r="D30" s="4">
        <v>6813.1</v>
      </c>
      <c r="E30" s="4">
        <v>6063.56</v>
      </c>
      <c r="F30" s="4">
        <v>11100.72</v>
      </c>
      <c r="G30" s="1" t="s">
        <v>8</v>
      </c>
    </row>
    <row r="31" spans="1:7" x14ac:dyDescent="0.25">
      <c r="A31" s="1" t="s">
        <v>17</v>
      </c>
      <c r="B31" s="1">
        <v>-95.62</v>
      </c>
      <c r="C31" s="1">
        <v>-102.03</v>
      </c>
      <c r="D31" s="1">
        <v>-102.45</v>
      </c>
      <c r="E31" s="1">
        <v>-102.2</v>
      </c>
      <c r="F31" s="1">
        <v>-98.88</v>
      </c>
      <c r="G31" s="1" t="s">
        <v>8</v>
      </c>
    </row>
    <row r="32" spans="1:7" x14ac:dyDescent="0.25">
      <c r="A32" s="1" t="s">
        <v>90</v>
      </c>
      <c r="B32" s="4">
        <v>-12070.85</v>
      </c>
      <c r="C32" s="4">
        <v>-28826.23</v>
      </c>
      <c r="D32" s="4">
        <v>8988.91</v>
      </c>
      <c r="E32" s="4">
        <v>7454.36</v>
      </c>
      <c r="F32" s="4">
        <v>11579.31</v>
      </c>
      <c r="G32" s="1" t="s">
        <v>8</v>
      </c>
    </row>
    <row r="33" spans="1:7" x14ac:dyDescent="0.25">
      <c r="A33" s="1" t="s">
        <v>51</v>
      </c>
      <c r="B33" s="1"/>
      <c r="C33" s="1"/>
      <c r="D33" s="1"/>
      <c r="E33" s="1"/>
      <c r="F33" s="1"/>
      <c r="G33" s="1" t="s">
        <v>8</v>
      </c>
    </row>
    <row r="34" spans="1:7" x14ac:dyDescent="0.25">
      <c r="A34" s="1" t="s">
        <v>91</v>
      </c>
      <c r="B34" s="1"/>
      <c r="C34" s="1"/>
      <c r="D34" s="1"/>
      <c r="E34" s="1"/>
      <c r="F34" s="1"/>
      <c r="G34" s="1" t="s">
        <v>8</v>
      </c>
    </row>
    <row r="35" spans="1:7" x14ac:dyDescent="0.25">
      <c r="A35" s="1" t="s">
        <v>92</v>
      </c>
      <c r="B35" s="1">
        <v>-35</v>
      </c>
      <c r="C35" s="1">
        <v>-85</v>
      </c>
      <c r="D35" s="1">
        <v>26</v>
      </c>
      <c r="E35" s="1">
        <v>22</v>
      </c>
      <c r="F35" s="1">
        <v>34</v>
      </c>
      <c r="G35" s="1" t="s">
        <v>8</v>
      </c>
    </row>
    <row r="36" spans="1:7" x14ac:dyDescent="0.25">
      <c r="A36" s="1" t="s">
        <v>93</v>
      </c>
      <c r="B36" s="1">
        <v>-35</v>
      </c>
      <c r="C36" s="1">
        <v>-85</v>
      </c>
      <c r="D36" s="1">
        <v>26</v>
      </c>
      <c r="E36" s="1">
        <v>22</v>
      </c>
      <c r="F36" s="1">
        <v>34</v>
      </c>
      <c r="G36" s="1" t="s">
        <v>8</v>
      </c>
    </row>
    <row r="37" spans="1:7" x14ac:dyDescent="0.25">
      <c r="A37" s="1" t="s">
        <v>94</v>
      </c>
      <c r="B37" s="1"/>
      <c r="C37" s="1"/>
      <c r="D37" s="1"/>
      <c r="E37" s="1"/>
      <c r="F37" s="1"/>
      <c r="G37" s="1" t="s">
        <v>8</v>
      </c>
    </row>
    <row r="38" spans="1:7" x14ac:dyDescent="0.25">
      <c r="A38" s="1" t="s">
        <v>95</v>
      </c>
      <c r="B38" s="1">
        <v>0</v>
      </c>
      <c r="C38" s="1">
        <v>0</v>
      </c>
      <c r="D38" s="1">
        <v>0</v>
      </c>
      <c r="E38" s="1">
        <v>73</v>
      </c>
      <c r="F38" s="1">
        <v>0</v>
      </c>
      <c r="G38" s="1" t="s">
        <v>8</v>
      </c>
    </row>
    <row r="39" spans="1:7" x14ac:dyDescent="0.25">
      <c r="A39" s="1" t="s">
        <v>96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 t="s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6CF5-D223-44E4-9A1F-99394F7BA07E}">
  <dimension ref="A1:G3"/>
  <sheetViews>
    <sheetView workbookViewId="0">
      <selection activeCell="A4" sqref="A4"/>
    </sheetView>
  </sheetViews>
  <sheetFormatPr defaultRowHeight="15" x14ac:dyDescent="0.25"/>
  <cols>
    <col min="1" max="1" width="60" customWidth="1"/>
    <col min="2" max="2" width="32.85546875" customWidth="1"/>
    <col min="3" max="3" width="39.140625" customWidth="1"/>
  </cols>
  <sheetData>
    <row r="1" spans="1:7" s="10" customFormat="1" x14ac:dyDescent="0.25">
      <c r="A1" s="7" t="s">
        <v>62</v>
      </c>
      <c r="B1" s="8">
        <v>43891</v>
      </c>
      <c r="C1" s="9"/>
      <c r="D1" s="9"/>
      <c r="E1" s="9"/>
      <c r="F1" s="9"/>
      <c r="G1" s="7" t="s">
        <v>8</v>
      </c>
    </row>
    <row r="3" spans="1:7" x14ac:dyDescent="0.25">
      <c r="A3" t="s">
        <v>69</v>
      </c>
      <c r="B3">
        <v>264041.12</v>
      </c>
      <c r="C3" s="4"/>
      <c r="D3" s="4"/>
      <c r="E3" s="4"/>
      <c r="F3" s="4"/>
      <c r="G3" s="1" t="s">
        <v>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8A57-4511-449A-BCA2-478FB22ECE52}">
  <sheetPr codeName="Sheet3"/>
  <dimension ref="A1:G12"/>
  <sheetViews>
    <sheetView workbookViewId="0">
      <selection activeCell="C15" sqref="C15"/>
    </sheetView>
  </sheetViews>
  <sheetFormatPr defaultRowHeight="15" x14ac:dyDescent="0.25"/>
  <cols>
    <col min="1" max="1" width="52.5703125" bestFit="1" customWidth="1"/>
    <col min="2" max="6" width="11.140625" bestFit="1" customWidth="1"/>
    <col min="7" max="7" width="11.140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 t="s">
        <v>97</v>
      </c>
      <c r="B2" s="3">
        <v>43906</v>
      </c>
      <c r="C2" s="3">
        <v>43907</v>
      </c>
      <c r="D2" s="3">
        <v>43908</v>
      </c>
      <c r="E2" s="3">
        <v>43909</v>
      </c>
      <c r="F2" s="3">
        <v>43910</v>
      </c>
      <c r="G2" s="1" t="s">
        <v>8</v>
      </c>
    </row>
    <row r="3" spans="1:7" x14ac:dyDescent="0.25">
      <c r="A3" s="1" t="s">
        <v>8</v>
      </c>
      <c r="B3" s="1" t="s">
        <v>9</v>
      </c>
      <c r="C3" s="1" t="s">
        <v>9</v>
      </c>
      <c r="D3" s="1" t="s">
        <v>9</v>
      </c>
      <c r="E3" s="1" t="s">
        <v>9</v>
      </c>
      <c r="F3" s="1" t="s">
        <v>9</v>
      </c>
      <c r="G3" s="1" t="s">
        <v>8</v>
      </c>
    </row>
    <row r="4" spans="1:7" x14ac:dyDescent="0.25">
      <c r="A4" s="1" t="s">
        <v>98</v>
      </c>
      <c r="B4" s="4">
        <v>11678.19</v>
      </c>
      <c r="C4" s="4">
        <v>7556.56</v>
      </c>
      <c r="D4" s="4">
        <v>9091.36</v>
      </c>
      <c r="E4" s="4">
        <v>-28724.2</v>
      </c>
      <c r="F4" s="4">
        <v>-11975.23</v>
      </c>
      <c r="G4" s="1" t="s">
        <v>8</v>
      </c>
    </row>
    <row r="5" spans="1:7" x14ac:dyDescent="0.25">
      <c r="A5" s="1" t="s">
        <v>99</v>
      </c>
      <c r="B5" s="4">
        <v>37899.54</v>
      </c>
      <c r="C5" s="4">
        <v>30199.25</v>
      </c>
      <c r="D5" s="4">
        <v>23857.42</v>
      </c>
      <c r="E5" s="4">
        <v>18890.75</v>
      </c>
      <c r="F5" s="4">
        <v>26632.94</v>
      </c>
      <c r="G5" s="1" t="s">
        <v>8</v>
      </c>
    </row>
    <row r="6" spans="1:7" x14ac:dyDescent="0.25">
      <c r="A6" s="1" t="s">
        <v>100</v>
      </c>
      <c r="B6" s="4">
        <v>-37504.43</v>
      </c>
      <c r="C6" s="4">
        <v>-38079.879999999997</v>
      </c>
      <c r="D6" s="4">
        <v>-26201.61</v>
      </c>
      <c r="E6" s="4">
        <v>-19711.09</v>
      </c>
      <c r="F6" s="4">
        <v>-34170.22</v>
      </c>
      <c r="G6" s="1" t="s">
        <v>8</v>
      </c>
    </row>
    <row r="7" spans="1:7" x14ac:dyDescent="0.25">
      <c r="A7" s="1" t="s">
        <v>101</v>
      </c>
      <c r="B7" s="4">
        <v>-3795.12</v>
      </c>
      <c r="C7" s="4">
        <v>6205.3</v>
      </c>
      <c r="D7" s="4">
        <v>2011.71</v>
      </c>
      <c r="E7" s="4">
        <v>8830.3700000000008</v>
      </c>
      <c r="F7" s="4">
        <v>3389.61</v>
      </c>
      <c r="G7" s="1" t="s">
        <v>8</v>
      </c>
    </row>
    <row r="8" spans="1:7" x14ac:dyDescent="0.25">
      <c r="A8" s="1" t="s">
        <v>102</v>
      </c>
      <c r="B8" s="1">
        <v>810.53</v>
      </c>
      <c r="C8" s="4">
        <v>-1491.52</v>
      </c>
      <c r="D8" s="4">
        <v>1306.4100000000001</v>
      </c>
      <c r="E8" s="4">
        <v>-1410.92</v>
      </c>
      <c r="F8" s="4">
        <v>1055.67</v>
      </c>
      <c r="G8" s="1" t="s">
        <v>8</v>
      </c>
    </row>
    <row r="9" spans="1:7" x14ac:dyDescent="0.25">
      <c r="A9" s="1" t="s">
        <v>103</v>
      </c>
      <c r="B9" s="1">
        <v>0</v>
      </c>
      <c r="C9" s="1">
        <v>0</v>
      </c>
      <c r="D9" s="1">
        <v>0</v>
      </c>
      <c r="E9" s="1">
        <v>243.94</v>
      </c>
      <c r="F9" s="1">
        <v>0</v>
      </c>
      <c r="G9" s="1" t="s">
        <v>8</v>
      </c>
    </row>
    <row r="10" spans="1:7" x14ac:dyDescent="0.25">
      <c r="A10" s="1" t="s">
        <v>104</v>
      </c>
      <c r="B10" s="4">
        <v>-2589.48</v>
      </c>
      <c r="C10" s="4">
        <v>-3166.85</v>
      </c>
      <c r="D10" s="1">
        <v>973.93</v>
      </c>
      <c r="E10" s="4">
        <v>6843.05</v>
      </c>
      <c r="F10" s="4">
        <v>-3092</v>
      </c>
      <c r="G10" s="1" t="s">
        <v>8</v>
      </c>
    </row>
    <row r="11" spans="1:7" x14ac:dyDescent="0.25">
      <c r="A11" s="1" t="s">
        <v>105</v>
      </c>
      <c r="B11" s="4">
        <v>19743.09</v>
      </c>
      <c r="C11" s="4">
        <v>17153.61</v>
      </c>
      <c r="D11" s="4">
        <v>13742.82</v>
      </c>
      <c r="E11" s="4">
        <v>14716.75</v>
      </c>
      <c r="F11" s="4">
        <v>21559.8</v>
      </c>
      <c r="G11" s="1" t="s">
        <v>8</v>
      </c>
    </row>
    <row r="12" spans="1:7" x14ac:dyDescent="0.25">
      <c r="A12" s="1" t="s">
        <v>106</v>
      </c>
      <c r="B12" s="4">
        <v>17153.61</v>
      </c>
      <c r="C12" s="4">
        <v>13986.76</v>
      </c>
      <c r="D12" s="4">
        <v>14716.75</v>
      </c>
      <c r="E12" s="4">
        <v>21559.8</v>
      </c>
      <c r="F12" s="4">
        <v>18467.8</v>
      </c>
      <c r="G12" s="1" t="s">
        <v>8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F335B-0BED-48A5-91DB-4DBD592BE4EB}">
  <sheetPr codeName="Sheet4"/>
  <dimension ref="A1:I19"/>
  <sheetViews>
    <sheetView workbookViewId="0">
      <selection activeCell="E9" sqref="E9"/>
    </sheetView>
  </sheetViews>
  <sheetFormatPr defaultRowHeight="15" x14ac:dyDescent="0.25"/>
  <cols>
    <col min="1" max="1" width="35.42578125" customWidth="1"/>
    <col min="2" max="2" width="10.140625" bestFit="1" customWidth="1"/>
    <col min="3" max="3" width="13.7109375" customWidth="1"/>
    <col min="4" max="4" width="14.42578125" customWidth="1"/>
    <col min="5" max="5" width="13.85546875" customWidth="1"/>
    <col min="6" max="6" width="12.7109375" customWidth="1"/>
  </cols>
  <sheetData>
    <row r="1" spans="1:9" x14ac:dyDescent="0.25">
      <c r="A1" s="2" t="s">
        <v>107</v>
      </c>
    </row>
    <row r="2" spans="1:9" x14ac:dyDescent="0.25">
      <c r="B2" s="5">
        <v>42430</v>
      </c>
      <c r="C2" s="5">
        <v>42796</v>
      </c>
      <c r="D2" s="5">
        <v>43162</v>
      </c>
      <c r="E2" s="5">
        <v>43528</v>
      </c>
      <c r="F2" s="5">
        <v>43891</v>
      </c>
      <c r="G2" s="5">
        <v>44261</v>
      </c>
      <c r="H2" s="5">
        <v>44627</v>
      </c>
      <c r="I2" s="5">
        <v>44993</v>
      </c>
    </row>
    <row r="3" spans="1:9" x14ac:dyDescent="0.25">
      <c r="A3" s="6" t="s">
        <v>36</v>
      </c>
      <c r="B3" s="4">
        <f>'Balance Sheet'!B30</f>
        <v>132390.9</v>
      </c>
      <c r="C3" s="4">
        <f>'Balance Sheet'!C30</f>
        <v>128969.60000000001</v>
      </c>
      <c r="D3" s="4">
        <f>'Balance Sheet'!D30</f>
        <v>161330.91</v>
      </c>
      <c r="E3" s="4">
        <f>'Balance Sheet'!E30</f>
        <v>142370.44</v>
      </c>
      <c r="F3" s="4">
        <f>'Balance Sheet'!F30</f>
        <v>161952.37</v>
      </c>
    </row>
    <row r="4" spans="1:9" x14ac:dyDescent="0.25">
      <c r="A4" s="6" t="s">
        <v>49</v>
      </c>
      <c r="B4" s="4">
        <f>'Balance Sheet'!B43</f>
        <v>109923.67</v>
      </c>
      <c r="C4" s="4">
        <f>'Balance Sheet'!C43</f>
        <v>116119.75</v>
      </c>
      <c r="D4" s="4">
        <f>'Balance Sheet'!D43</f>
        <v>135972.84</v>
      </c>
      <c r="E4" s="4">
        <f>'Balance Sheet'!E43</f>
        <v>123431.16</v>
      </c>
      <c r="F4" s="4">
        <f>'Balance Sheet'!F43</f>
        <v>119587.25</v>
      </c>
    </row>
    <row r="5" spans="1:9" x14ac:dyDescent="0.25">
      <c r="A5" s="6" t="s">
        <v>29</v>
      </c>
      <c r="B5" s="4">
        <f>'Balance Sheet'!B23</f>
        <v>107049.43</v>
      </c>
      <c r="C5" s="4">
        <f>'Balance Sheet'!C23</f>
        <v>115629.52</v>
      </c>
      <c r="D5" s="4">
        <f>'Balance Sheet'!D23</f>
        <v>143219.47</v>
      </c>
      <c r="E5" s="4">
        <f>'Balance Sheet'!E23</f>
        <v>145457.43</v>
      </c>
      <c r="F5" s="4">
        <f>'Balance Sheet'!F23</f>
        <v>140454.04999999999</v>
      </c>
    </row>
    <row r="6" spans="1:9" x14ac:dyDescent="0.25">
      <c r="A6" s="6" t="s">
        <v>19</v>
      </c>
      <c r="B6" s="4">
        <f>'Balance Sheet'!B13</f>
        <v>50510.39</v>
      </c>
      <c r="C6" s="4">
        <f>'Balance Sheet'!C13</f>
        <v>60629.18</v>
      </c>
      <c r="D6" s="4">
        <f>'Balance Sheet'!D13</f>
        <v>61199.5</v>
      </c>
      <c r="E6" s="4">
        <f>'Balance Sheet'!E13</f>
        <v>70817.5</v>
      </c>
      <c r="F6" s="4">
        <f>'Balance Sheet'!F13</f>
        <v>83315.62</v>
      </c>
    </row>
    <row r="7" spans="1:9" x14ac:dyDescent="0.25">
      <c r="A7" s="6" t="s">
        <v>25</v>
      </c>
      <c r="B7" s="4">
        <f>'Balance Sheet'!B19</f>
        <v>11450.78</v>
      </c>
      <c r="C7" s="4">
        <f>'Balance Sheet'!C19</f>
        <v>13859.94</v>
      </c>
      <c r="D7" s="4">
        <f>'Balance Sheet'!D19</f>
        <v>16794.849999999999</v>
      </c>
      <c r="E7" s="4">
        <f>'Balance Sheet'!E19</f>
        <v>20150.259999999998</v>
      </c>
      <c r="F7" s="4">
        <f>'Balance Sheet'!F19</f>
        <v>16362.53</v>
      </c>
    </row>
    <row r="8" spans="1:9" x14ac:dyDescent="0.25">
      <c r="A8" s="6" t="s">
        <v>108</v>
      </c>
      <c r="B8" s="4">
        <f>'P &amp; L'!B30</f>
        <v>-10975.23</v>
      </c>
      <c r="C8" s="4">
        <f>'P &amp; L'!C30</f>
        <v>-28933.7</v>
      </c>
      <c r="D8" s="4">
        <f>'P &amp; L'!D30</f>
        <v>6813.1</v>
      </c>
      <c r="E8" s="4">
        <f>'P &amp; L'!E30</f>
        <v>6063.56</v>
      </c>
      <c r="F8" s="4">
        <f>'P &amp; L'!F30</f>
        <v>11100.72</v>
      </c>
    </row>
    <row r="9" spans="1:9" x14ac:dyDescent="0.25">
      <c r="A9" s="6" t="s">
        <v>109</v>
      </c>
      <c r="B9" s="4">
        <f>'P &amp; L'!B16</f>
        <v>21425.43</v>
      </c>
      <c r="C9" s="4">
        <f>'P &amp; L'!C16</f>
        <v>23590.63</v>
      </c>
      <c r="D9" s="4">
        <f>'P &amp; L'!D16</f>
        <v>21553.59</v>
      </c>
      <c r="E9" s="4">
        <f>'P &amp; L'!E16</f>
        <v>17904.990000000002</v>
      </c>
      <c r="F9" s="4">
        <f>'P &amp; L'!F16</f>
        <v>16710.78</v>
      </c>
    </row>
    <row r="11" spans="1:9" x14ac:dyDescent="0.25">
      <c r="A11" s="6" t="s">
        <v>110</v>
      </c>
      <c r="C11" s="4">
        <f>C3-B3</f>
        <v>-3421.2999999999884</v>
      </c>
      <c r="D11" s="4">
        <f t="shared" ref="D11:F11" si="0">D3-C3</f>
        <v>32361.309999999998</v>
      </c>
      <c r="E11" s="4">
        <f t="shared" si="0"/>
        <v>-18960.47</v>
      </c>
      <c r="F11" s="4">
        <f t="shared" si="0"/>
        <v>19581.929999999993</v>
      </c>
    </row>
    <row r="12" spans="1:9" x14ac:dyDescent="0.25">
      <c r="A12" s="6" t="s">
        <v>111</v>
      </c>
      <c r="C12" s="4">
        <f>C11+C9</f>
        <v>20169.330000000013</v>
      </c>
      <c r="D12" s="4">
        <f t="shared" ref="D12:F12" si="1">D11+D9</f>
        <v>53914.899999999994</v>
      </c>
      <c r="E12" s="4">
        <f t="shared" si="1"/>
        <v>-1055.4799999999996</v>
      </c>
      <c r="F12" s="4">
        <f t="shared" si="1"/>
        <v>36292.709999999992</v>
      </c>
    </row>
    <row r="13" spans="1:9" x14ac:dyDescent="0.25">
      <c r="A13" s="6" t="s">
        <v>112</v>
      </c>
      <c r="B13" s="4">
        <f>B4-B5</f>
        <v>2874.2400000000052</v>
      </c>
      <c r="C13" s="4">
        <f>C4-C5</f>
        <v>490.22999999999593</v>
      </c>
      <c r="D13" s="4">
        <f t="shared" ref="D13:F13" si="2">D4-D5</f>
        <v>-7246.6300000000047</v>
      </c>
      <c r="E13" s="4">
        <f t="shared" si="2"/>
        <v>-22026.26999999999</v>
      </c>
      <c r="F13" s="4">
        <f t="shared" si="2"/>
        <v>-20866.799999999988</v>
      </c>
    </row>
    <row r="14" spans="1:9" x14ac:dyDescent="0.25">
      <c r="A14" s="6" t="s">
        <v>113</v>
      </c>
      <c r="C14" s="4">
        <f>C13-B13</f>
        <v>-2384.0100000000093</v>
      </c>
      <c r="D14" s="4">
        <f t="shared" ref="D14:F14" si="3">D13-C13</f>
        <v>-7736.8600000000006</v>
      </c>
      <c r="E14" s="4">
        <f t="shared" si="3"/>
        <v>-14779.639999999985</v>
      </c>
      <c r="F14" s="4">
        <f t="shared" si="3"/>
        <v>1159.4700000000012</v>
      </c>
    </row>
    <row r="15" spans="1:9" x14ac:dyDescent="0.25">
      <c r="A15" s="6" t="s">
        <v>114</v>
      </c>
      <c r="C15" s="4">
        <f>C6-B6</f>
        <v>10118.790000000001</v>
      </c>
      <c r="D15" s="4">
        <f t="shared" ref="D15:F15" si="4">D6-C6</f>
        <v>570.31999999999971</v>
      </c>
      <c r="E15" s="4">
        <f t="shared" si="4"/>
        <v>9618</v>
      </c>
      <c r="F15" s="4">
        <f t="shared" si="4"/>
        <v>12498.119999999995</v>
      </c>
    </row>
    <row r="16" spans="1:9" x14ac:dyDescent="0.25">
      <c r="A16" s="6" t="s">
        <v>115</v>
      </c>
      <c r="C16" s="4">
        <f>C7-B7</f>
        <v>2409.16</v>
      </c>
      <c r="D16" s="4">
        <f t="shared" ref="D16:F16" si="5">D7-C7</f>
        <v>2934.909999999998</v>
      </c>
      <c r="E16" s="4">
        <f t="shared" si="5"/>
        <v>3355.41</v>
      </c>
      <c r="F16" s="4">
        <f t="shared" si="5"/>
        <v>-3787.7299999999977</v>
      </c>
    </row>
    <row r="17" spans="1:6" x14ac:dyDescent="0.25">
      <c r="A17" s="6" t="s">
        <v>116</v>
      </c>
      <c r="C17" s="4">
        <f>C16+C15</f>
        <v>12527.95</v>
      </c>
      <c r="D17" s="4">
        <f t="shared" ref="D17:F17" si="6">D16+D15</f>
        <v>3505.2299999999977</v>
      </c>
      <c r="E17" s="4">
        <f t="shared" si="6"/>
        <v>12973.41</v>
      </c>
      <c r="F17" s="4">
        <f t="shared" si="6"/>
        <v>8710.3899999999976</v>
      </c>
    </row>
    <row r="19" spans="1:6" x14ac:dyDescent="0.25">
      <c r="A19" s="6" t="s">
        <v>117</v>
      </c>
      <c r="C19" s="4">
        <f>(C8+C17+C9)-(C12+C14)</f>
        <v>-10600.440000000002</v>
      </c>
      <c r="D19" s="4">
        <f t="shared" ref="D19:F19" si="7">(D8+D17+D9)-(D12+D14)</f>
        <v>-14306.119999999995</v>
      </c>
      <c r="E19" s="4">
        <f t="shared" si="7"/>
        <v>52777.079999999987</v>
      </c>
      <c r="F19" s="4">
        <f t="shared" si="7"/>
        <v>-930.2899999999936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2DA9CCF-C2B3-4FB2-BE0D-1AAC173A78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Balance Sheet</vt:lpstr>
      <vt:lpstr>P &amp; L</vt:lpstr>
      <vt:lpstr>Sheet1</vt:lpstr>
      <vt:lpstr>Cash Flow</vt:lpstr>
      <vt:lpstr>DCF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sudeshna bora</dc:creator>
  <cp:lastModifiedBy>sudeshna bora</cp:lastModifiedBy>
  <dcterms:created xsi:type="dcterms:W3CDTF">2020-12-03T22:51:51Z</dcterms:created>
  <dcterms:modified xsi:type="dcterms:W3CDTF">2020-12-12T02:08:19Z</dcterms:modified>
</cp:coreProperties>
</file>